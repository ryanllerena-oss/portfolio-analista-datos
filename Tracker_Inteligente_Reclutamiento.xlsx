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7d564b015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fc79e0187fb46c4"/>
    <x:sheet xmlns:r="http://schemas.openxmlformats.org/officeDocument/2006/relationships" name="Registro" sheetId="2" r:id="R304d13ec339240cb"/>
    <x:sheet xmlns:r="http://schemas.openxmlformats.org/officeDocument/2006/relationships" name="Listas" sheetId="3" r:id="R012d8c91c40e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"/>
  </x:numFmts>
  <x:fonts count="9">
    <x:font>
      <x:sz val="11"/>
      <x:name val="Carlito"/>
    </x:font>
    <x:font>
      <x:b/>
      <x:sz val="11"/>
      <x:color rgb="FFF0F6FC"/>
      <x:name val="Carlito"/>
    </x:font>
    <x:font>
      <x:b/>
      <x:sz val="18"/>
      <x:color rgb="FFF0F6FC"/>
      <x:name val="Carlito"/>
    </x:font>
    <x:font>
      <x:i/>
      <x:sz val="11"/>
      <x:color rgb="FF9BA7B4"/>
      <x:name val="Carlito"/>
    </x:font>
    <x:font>
      <x:sz val="11"/>
      <x:color rgb="FFF0F6FC"/>
      <x:name val="Carlito"/>
    </x:font>
    <x:font>
      <x:b/>
      <x:sz val="22"/>
      <x:color rgb="FFF0F6FC"/>
      <x:name val="Carlito"/>
    </x:font>
    <x:font>
      <x:b/>
      <x:sz val="11"/>
      <x:color rgb="FF39D0D8"/>
      <x:name val="Carlito"/>
    </x:font>
    <x:font>
      <x:b/>
      <x:sz val="26"/>
      <x:color rgb="FFF0F6FC"/>
      <x:name val="Carlito"/>
    </x:font>
    <x:font>
      <x:i/>
      <x:sz val="11"/>
      <x:color rgb="FF58A6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1B22"/>
      </x:patternFill>
    </x:fill>
    <x:fill>
      <x:patternFill patternType="solid">
        <x:fgColor rgb="FF0D1117"/>
      </x:patternFill>
    </x:fill>
    <x:fill>
      <x:patternFill patternType="solid">
        <x:fgColor rgb="FF1F6FEB"/>
      </x:patternFill>
    </x:fill>
    <x:fill>
      <x:patternFill patternType="solid">
        <x:fgColor rgb="FF111820"/>
      </x:patternFill>
    </x:fill>
    <x:fill>
      <x:patternFill patternType="solid">
        <x:fgColor rgb="FF1F6FEB"/>
      </x:patternFill>
    </x:fill>
  </x:fills>
  <x:borders count="5">
    <x:border/>
    <x:border>
      <x:bottom style="thin">
        <x:color rgb="FF30363D"/>
      </x:bottom>
    </x:border>
    <x:border>
      <x:top style="thin">
        <x:color rgb="FF30363D"/>
      </x:top>
      <x:bottom style="thin">
        <x:color rgb="FF30363D"/>
      </x:bottom>
    </x:border>
    <x:border>
      <x:top style="thin">
        <x:color rgb="FF30363D"/>
      </x:top>
    </x:border>
    <x:border>
      <x:bottom style="medium">
        <x:color rgb="FF58A6F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4" fillId="5" borderId="1" xfId="0" applyNumberFormat="1" applyFont="1" applyFill="1" applyBorder="1"/>
    <x:xf numFmtId="0" fontId="4" fillId="5" borderId="2" xfId="0" applyNumberFormat="1" applyFont="1" applyFill="1" applyBorder="1"/>
    <x:xf numFmtId="200" fontId="4" fillId="5" borderId="2" xfId="0" applyNumberFormat="1" applyFont="1" applyFill="1" applyBorder="1"/>
    <x:xf numFmtId="201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3" xfId="0" applyNumberFormat="1" applyFont="1" applyFill="1" applyBorder="1"/>
    <x:xf numFmtId="201" fontId="4" fillId="5" borderId="3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4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4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4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FFB3B3"/>
      </x:font>
      <x:fill>
        <x:patternFill patternType="solid">
          <x:bgColor rgb="FF5A1A1A"/>
        </x:patternFill>
      </x:fill>
    </x:dxf>
    <x:dxf>
      <x:font>
        <x:b/>
        <x:color rgb="FFFFD88A"/>
      </x:font>
      <x:fill>
        <x:patternFill patternType="solid">
          <x:bgColor rgb="FF4A3512"/>
        </x:patternFill>
      </x:fill>
    </x:dxf>
    <x:dxf>
      <x:font>
        <x:color rgb="FF8BE9B3"/>
      </x:font>
      <x:fill>
        <x:patternFill patternType="solid">
          <x:bgColor rgb="FF123B2A"/>
        </x:patternFill>
      </x:fill>
    </x:dxf>
    <x:dxf>
      <x:font>
        <x:color rgb="FF9CCBFF"/>
      </x:font>
      <x:fill>
        <x:patternFill patternType="solid">
          <x:bgColor rgb="FF17304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8999e67454d29" /><Relationship Type="http://schemas.openxmlformats.org/officeDocument/2006/relationships/theme" Target="/xl/theme/theme1.xml" Id="Rba515a2071944de2" /><Relationship Type="http://schemas.openxmlformats.org/officeDocument/2006/relationships/sharedStrings" Target="/xl/sharedStrings.xml" Id="Rc2f4d1643f8043e0" /><Relationship Type="http://schemas.openxmlformats.org/officeDocument/2006/relationships/worksheet" Target="/xl/worksheets/sheet1.xml" Id="R1fc79e0187fb46c4" /><Relationship Type="http://schemas.openxmlformats.org/officeDocument/2006/relationships/worksheet" Target="/xl/worksheets/sheet2.xml" Id="R304d13ec339240cb" /><Relationship Type="http://schemas.openxmlformats.org/officeDocument/2006/relationships/worksheet" Target="/xl/worksheets/sheet3.xml" Id="R012d8c91c40e46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fb31e5f06840fe" /><Relationship Type="http://schemas.openxmlformats.org/officeDocument/2006/relationships/chart" Target="/xl/drawings/charts/chart2.xml" Id="Rc1dc1fa422e649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Procesos por estado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por prioridad</a:t>
            </a:r>
          </a:p>
        </c:rich>
      </c:tx>
      <c:overlay val="0"/>
    </c:title>
    <c:plotArea>
      <c:doughnutChart>
        <c:ser>
          <c:idx val="0"/>
          <c:order val="0"/>
          <c:tx>
            <c:v>Cantidad</c:v>
          </c:tx>
          <c:cat>
            <c:strRef>
              <c:f>'Dashboard'!$D$11:$D$13</c:f>
              <c:strCache>
                <c:ptCount val="0"/>
              </c:strCache>
            </c:strRef>
          </c:cat>
          <c:val>
            <c:numRef>
              <c:f>'Dashboard'!$E$11:$E$13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fb31e5f06840fe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dc1fa422e6490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ckerTable" displayName="TrackerTable" ref="A4:J16" headerRowCount="1" totalsRowCount="0" totalsRowShown="0">
  <x:tableColumns count="10">
    <x:tableColumn id="1" name="ID"/>
    <x:tableColumn id="2" name="Vacante"/>
    <x:tableColumn id="3" name="Candidato"/>
    <x:tableColumn id="4" name="Responsable"/>
    <x:tableColumn id="5" name="Prioridad"/>
    <x:tableColumn id="6" name="Fecha inicio"/>
    <x:tableColumn id="7" name="Fecha límite"/>
    <x:tableColumn id="8" name="Estado"/>
    <x:tableColumn id="9" name="Días restantes"/>
    <x:tableColumn id="10" name="Aler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1fb7bfca4740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bbc2a65ed440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28" t="str">
        <x:v>DASHBOARD · TRACKER DE RECLUTAMIENTO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</x:row>
    <x:row r="3">
      <x:c r="A3" s="6" t="str">
        <x:v>Indicadores actualizados desde la hoja Registro · Datos ficticios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5">
      <x:c r="A5" s="30" t="str">
        <x:v>REGISTROS</x:v>
      </x:c>
      <x:c r="B5" s="30" t="str">
        <x:v>REGISTROS</x:v>
      </x:c>
      <x:c r="C5" s="30" t="str">
        <x:v>REGISTROS</x:v>
      </x:c>
      <x:c r="D5" s="30" t="str">
        <x:v>EN PROCESO</x:v>
      </x:c>
      <x:c r="E5" s="30" t="str">
        <x:v>EN PROCESO</x:v>
      </x:c>
      <x:c r="F5" s="30" t="str">
        <x:v>EN PROCESO</x:v>
      </x:c>
      <x:c r="G5" s="30" t="str">
        <x:v>POR VENCER</x:v>
      </x:c>
      <x:c r="H5" s="30" t="str">
        <x:v>POR VENCER</x:v>
      </x:c>
      <x:c r="I5" s="30" t="str">
        <x:v>POR VENCER</x:v>
      </x:c>
      <x:c r="J5" s="30" t="str">
        <x:v>COMPLETADOS</x:v>
      </x:c>
      <x:c r="K5" s="30" t="str">
        <x:v>COMPLETADOS</x:v>
      </x:c>
      <x:c r="L5" s="30" t="str">
        <x:v>COMPLETADOS</x:v>
      </x:c>
    </x:row>
    <x:row r="6">
      <x:c r="A6" s="35" t="n">
        <x:f>COUNTA('Registro'!$A$5:$A$100)</x:f>
        <x:v>12</x:v>
      </x:c>
      <x:c r="B6" s="35"/>
      <x:c r="C6" s="35"/>
      <x:c r="D6" s="35" t="n">
        <x:f>COUNTIF('Registro'!$H$5:$H$100,"En proceso")</x:f>
        <x:v>3</x:v>
      </x:c>
      <x:c r="E6" s="35"/>
      <x:c r="F6" s="35"/>
      <x:c r="G6" s="35" t="n">
        <x:f>COUNTIF('Registro'!$J$5:$J$100,"Por vencer")</x:f>
        <x:v>2</x:v>
      </x:c>
      <x:c r="H6" s="35"/>
      <x:c r="I6" s="35"/>
      <x:c r="J6" s="35" t="n">
        <x:f>COUNTIF('Registro'!$H$5:$H$100,"Completado")</x:f>
        <x:v>2</x:v>
      </x:c>
      <x:c r="K6" s="35"/>
      <x:c r="L6" s="35"/>
    </x:row>
    <x:row r="7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</x:row>
    <x:row r="10">
      <x:c r="A10" s="42" t="str">
        <x:v>Estado</x:v>
      </x:c>
      <x:c r="B10" s="42" t="str">
        <x:v>Cantidad</x:v>
      </x:c>
      <x:c r="D10" s="42" t="str">
        <x:v>Prioridad</x:v>
      </x:c>
      <x:c r="E10" s="42" t="str">
        <x:v>Cantidad</x:v>
      </x:c>
    </x:row>
    <x:row r="11">
      <x:c r="A11" s="39" t="str">
        <x:v>Pendiente</x:v>
      </x:c>
      <x:c r="B11" s="39" t="n">
        <x:f>COUNTIF('Registro'!$H$5:$H$100,A11)</x:f>
        <x:v>3</x:v>
      </x:c>
      <x:c r="D11" s="39" t="str">
        <x:v>Alta</x:v>
      </x:c>
      <x:c r="E11" s="39" t="n">
        <x:f>COUNTIF('Registro'!$E$5:$E$100,D11)</x:f>
        <x:v>6</x:v>
      </x:c>
    </x:row>
    <x:row r="12">
      <x:c r="A12" s="39" t="str">
        <x:v>En proceso</x:v>
      </x:c>
      <x:c r="B12" s="39" t="n">
        <x:f>COUNTIF('Registro'!$H$5:$H$100,A12)</x:f>
        <x:v>3</x:v>
      </x:c>
      <x:c r="D12" s="39" t="str">
        <x:v>Media</x:v>
      </x:c>
      <x:c r="E12" s="39" t="n">
        <x:f>COUNTIF('Registro'!$E$5:$E$100,D12)</x:f>
        <x:v>4</x:v>
      </x:c>
    </x:row>
    <x:row r="13">
      <x:c r="A13" s="39" t="str">
        <x:v>Entrevista</x:v>
      </x:c>
      <x:c r="B13" s="39" t="n">
        <x:f>COUNTIF('Registro'!$H$5:$H$100,A13)</x:f>
        <x:v>3</x:v>
      </x:c>
      <x:c r="D13" s="40" t="str">
        <x:v>Baja</x:v>
      </x:c>
      <x:c r="E13" s="40" t="n">
        <x:f>COUNTIF('Registro'!$E$5:$E$100,D13)</x:f>
        <x:v>2</x:v>
      </x:c>
    </x:row>
    <x:row r="14">
      <x:c r="A14" s="39" t="str">
        <x:v>Completado</x:v>
      </x:c>
      <x:c r="B14" s="39" t="n">
        <x:f>COUNTIF('Registro'!$H$5:$H$100,A14)</x:f>
        <x:v>2</x:v>
      </x:c>
    </x:row>
    <x:row r="15">
      <x:c r="A15" s="40" t="str">
        <x:v>Pausado</x:v>
      </x:c>
      <x:c r="B15" s="40" t="n">
        <x:f>COUNTIF('Registro'!$H$5:$H$100,A15)</x:f>
        <x:v>1</x:v>
      </x:c>
    </x:row>
    <x:row r="35" ht="28" customHeight="1">
      <x:c r="A35" s="44" t="str">
        <x:v>Uso: edita la hoja Registro. Los KPIs, alertas y gráficos se actualizarán automáticamente en Excel.</x:v>
      </x:c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35:L35"/>
  </x:mergeCells>
  <x:pageMargins left="0.7" right="0.7" top="0.75" bottom="0.75" header="0.3" footer="0.3"/>
  <x:drawing xmlns:r="http://schemas.openxmlformats.org/officeDocument/2006/relationships" r:id="R3d1fb7bfca4740b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22" hidden="0" customWidth="1"/>
    <x:col min="4" max="4" width="18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</x:cols>
  <x:sheetData>
    <x:row r="1" ht="34" customHeight="1">
      <x:c r="A1" s="5" t="str">
        <x:v>TRACKER INTELIGENTE DE RECLUTAMIENTO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6" t="str">
        <x:v>Actualiza los campos editables; los días restantes y alertas se calculan automáticamente. Datos ficticios.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6" customHeight="1">
      <x:c r="A4" s="9" t="str">
        <x:v>ID</x:v>
      </x:c>
      <x:c r="B4" s="9" t="str">
        <x:v>Vacante</x:v>
      </x:c>
      <x:c r="C4" s="9" t="str">
        <x:v>Candidato</x:v>
      </x:c>
      <x:c r="D4" s="9" t="str">
        <x:v>Responsable</x:v>
      </x:c>
      <x:c r="E4" s="9" t="str">
        <x:v>Prioridad</x:v>
      </x:c>
      <x:c r="F4" s="9" t="str">
        <x:v>Fecha inicio</x:v>
      </x:c>
      <x:c r="G4" s="9" t="str">
        <x:v>Fecha límite</x:v>
      </x:c>
      <x:c r="H4" s="9" t="str">
        <x:v>Estado</x:v>
      </x:c>
      <x:c r="I4" s="9" t="str">
        <x:v>Días restantes</x:v>
      </x:c>
      <x:c r="J4" s="9" t="str">
        <x:v>Alerta</x:v>
      </x:c>
    </x:row>
    <x:row r="5">
      <x:c r="A5" s="18" t="str">
        <x:v>REC-001</x:v>
      </x:c>
      <x:c r="B5" s="18" t="str">
        <x:v>Analista de Datos Jr.</x:v>
      </x:c>
      <x:c r="C5" s="18" t="str">
        <x:v>Lucía Mendoza</x:v>
      </x:c>
      <x:c r="D5" s="18" t="str">
        <x:v>Arud Sánchez</x:v>
      </x:c>
      <x:c r="E5" s="18" t="str">
        <x:v>Alta</x:v>
      </x:c>
      <x:c r="F5" s="19" t="n">
        <x:v>46235</x:v>
      </x:c>
      <x:c r="G5" s="19" t="n">
        <x:v>46246</x:v>
      </x:c>
      <x:c r="H5" s="18" t="str">
        <x:v>Entrevista</x:v>
      </x:c>
      <x:c r="I5" s="20" t="n">
        <x:f>G5-TODAY()</x:f>
        <x:v>3</x:v>
      </x:c>
      <x:c r="J5" s="18" t="str">
        <x:f>IF(H5="Completado","Cerrado",IF(I5&lt;0,"Vencido",IF(I5&lt;=3,"Por vencer","En tiempo")))</x:f>
        <x:v>Por vencer</x:v>
      </x:c>
    </x:row>
    <x:row r="6">
      <x:c r="A6" s="21" t="str">
        <x:v>REC-002</x:v>
      </x:c>
      <x:c r="B6" s="21" t="str">
        <x:v>Desarrollador Java</x:v>
      </x:c>
      <x:c r="C6" s="21" t="str">
        <x:v>Mateo Flores</x:v>
      </x:c>
      <x:c r="D6" s="21" t="str">
        <x:v>Ana Torres</x:v>
      </x:c>
      <x:c r="E6" s="21" t="str">
        <x:v>Alta</x:v>
      </x:c>
      <x:c r="F6" s="22" t="n">
        <x:v>46231</x:v>
      </x:c>
      <x:c r="G6" s="22" t="n">
        <x:v>46244</x:v>
      </x:c>
      <x:c r="H6" s="21" t="str">
        <x:v>En proceso</x:v>
      </x:c>
      <x:c r="I6" s="23" t="n">
        <x:f>G6-TODAY()</x:f>
        <x:v>1</x:v>
      </x:c>
      <x:c r="J6" s="21" t="str">
        <x:f>IF(H6="Completado","Cerrado",IF(I6&lt;0,"Vencido",IF(I6&lt;=3,"Por vencer","En tiempo")))</x:f>
        <x:v>Por vencer</x:v>
      </x:c>
    </x:row>
    <x:row r="7">
      <x:c r="A7" s="21" t="str">
        <x:v>REC-003</x:v>
      </x:c>
      <x:c r="B7" s="21" t="str">
        <x:v>Supervisor de Operaciones</x:v>
      </x:c>
      <x:c r="C7" s="21" t="str">
        <x:v>Valeria Ruiz</x:v>
      </x:c>
      <x:c r="D7" s="21" t="str">
        <x:v>Luis Rojas</x:v>
      </x:c>
      <x:c r="E7" s="21" t="str">
        <x:v>Media</x:v>
      </x:c>
      <x:c r="F7" s="22" t="n">
        <x:v>46236</x:v>
      </x:c>
      <x:c r="G7" s="22" t="n">
        <x:v>46250</x:v>
      </x:c>
      <x:c r="H7" s="21" t="str">
        <x:v>Pendiente</x:v>
      </x:c>
      <x:c r="I7" s="23" t="n">
        <x:f>G7-TODAY()</x:f>
        <x:v>7</x:v>
      </x:c>
      <x:c r="J7" s="21" t="str">
        <x:f>IF(H7="Completado","Cerrado",IF(I7&lt;0,"Vencido",IF(I7&lt;=3,"Por vencer","En tiempo")))</x:f>
        <x:v>En tiempo</x:v>
      </x:c>
    </x:row>
    <x:row r="8">
      <x:c r="A8" s="21" t="str">
        <x:v>REC-004</x:v>
      </x:c>
      <x:c r="B8" s="21" t="str">
        <x:v>Ejecutivo Comercial</x:v>
      </x:c>
      <x:c r="C8" s="21" t="str">
        <x:v>Diego Castro</x:v>
      </x:c>
      <x:c r="D8" s="21" t="str">
        <x:v>María Pérez</x:v>
      </x:c>
      <x:c r="E8" s="21" t="str">
        <x:v>Alta</x:v>
      </x:c>
      <x:c r="F8" s="22" t="n">
        <x:v>46223</x:v>
      </x:c>
      <x:c r="G8" s="22" t="n">
        <x:v>46239</x:v>
      </x:c>
      <x:c r="H8" s="21" t="str">
        <x:v>Completado</x:v>
      </x:c>
      <x:c r="I8" s="23" t="n">
        <x:f>G8-TODAY()</x:f>
        <x:v>-4</x:v>
      </x:c>
      <x:c r="J8" s="21" t="str">
        <x:f>IF(H8="Completado","Cerrado",IF(I8&lt;0,"Vencido",IF(I8&lt;=3,"Por vencer","En tiempo")))</x:f>
        <x:v>Cerrado</x:v>
      </x:c>
    </x:row>
    <x:row r="9">
      <x:c r="A9" s="21" t="str">
        <x:v>REC-005</x:v>
      </x:c>
      <x:c r="B9" s="21" t="str">
        <x:v>Analista Financiero</x:v>
      </x:c>
      <x:c r="C9" s="21" t="str">
        <x:v>Camila Soto</x:v>
      </x:c>
      <x:c r="D9" s="21" t="str">
        <x:v>Carlos Díaz</x:v>
      </x:c>
      <x:c r="E9" s="21" t="str">
        <x:v>Media</x:v>
      </x:c>
      <x:c r="F9" s="22" t="n">
        <x:v>46237</x:v>
      </x:c>
      <x:c r="G9" s="22" t="n">
        <x:v>46252</x:v>
      </x:c>
      <x:c r="H9" s="21" t="str">
        <x:v>En proceso</x:v>
      </x:c>
      <x:c r="I9" s="23" t="n">
        <x:f>G9-TODAY()</x:f>
        <x:v>9</x:v>
      </x:c>
      <x:c r="J9" s="21" t="str">
        <x:f>IF(H9="Completado","Cerrado",IF(I9&lt;0,"Vencido",IF(I9&lt;=3,"Por vencer","En tiempo")))</x:f>
        <x:v>En tiempo</x:v>
      </x:c>
    </x:row>
    <x:row r="10">
      <x:c r="A10" s="21" t="str">
        <x:v>REC-006</x:v>
      </x:c>
      <x:c r="B10" s="21" t="str">
        <x:v>Especialista BI</x:v>
      </x:c>
      <x:c r="C10" s="21" t="str">
        <x:v>Sebastián León</x:v>
      </x:c>
      <x:c r="D10" s="21" t="str">
        <x:v>Arud Sánchez</x:v>
      </x:c>
      <x:c r="E10" s="21" t="str">
        <x:v>Alta</x:v>
      </x:c>
      <x:c r="F10" s="22" t="n">
        <x:v>46233</x:v>
      </x:c>
      <x:c r="G10" s="22" t="n">
        <x:v>46248</x:v>
      </x:c>
      <x:c r="H10" s="21" t="str">
        <x:v>Entrevista</x:v>
      </x:c>
      <x:c r="I10" s="23" t="n">
        <x:f>G10-TODAY()</x:f>
        <x:v>5</x:v>
      </x:c>
      <x:c r="J10" s="21" t="str">
        <x:f>IF(H10="Completado","Cerrado",IF(I10&lt;0,"Vencido",IF(I10&lt;=3,"Por vencer","En tiempo")))</x:f>
        <x:v>En tiempo</x:v>
      </x:c>
    </x:row>
    <x:row r="11">
      <x:c r="A11" s="21" t="str">
        <x:v>REC-007</x:v>
      </x:c>
      <x:c r="B11" s="21" t="str">
        <x:v>Coordinador Logístico</x:v>
      </x:c>
      <x:c r="C11" s="21" t="str">
        <x:v>Daniela Vega</x:v>
      </x:c>
      <x:c r="D11" s="21" t="str">
        <x:v>Luis Rojas</x:v>
      </x:c>
      <x:c r="E11" s="21" t="str">
        <x:v>Baja</x:v>
      </x:c>
      <x:c r="F11" s="22" t="n">
        <x:v>46238</x:v>
      </x:c>
      <x:c r="G11" s="22" t="n">
        <x:v>46256</x:v>
      </x:c>
      <x:c r="H11" s="21" t="str">
        <x:v>Pausado</x:v>
      </x:c>
      <x:c r="I11" s="23" t="n">
        <x:f>G11-TODAY()</x:f>
        <x:v>13</x:v>
      </x:c>
      <x:c r="J11" s="21" t="str">
        <x:f>IF(H11="Completado","Cerrado",IF(I11&lt;0,"Vencido",IF(I11&lt;=3,"Por vencer","En tiempo")))</x:f>
        <x:v>En tiempo</x:v>
      </x:c>
    </x:row>
    <x:row r="12">
      <x:c r="A12" s="21" t="str">
        <x:v>REC-008</x:v>
      </x:c>
      <x:c r="B12" s="21" t="str">
        <x:v>Asistente Administrativo</x:v>
      </x:c>
      <x:c r="C12" s="21" t="str">
        <x:v>Bruno Silva</x:v>
      </x:c>
      <x:c r="D12" s="21" t="str">
        <x:v>Ana Torres</x:v>
      </x:c>
      <x:c r="E12" s="21" t="str">
        <x:v>Media</x:v>
      </x:c>
      <x:c r="F12" s="22" t="n">
        <x:v>46239</x:v>
      </x:c>
      <x:c r="G12" s="22" t="n">
        <x:v>46254</x:v>
      </x:c>
      <x:c r="H12" s="21" t="str">
        <x:v>Pendiente</x:v>
      </x:c>
      <x:c r="I12" s="23" t="n">
        <x:f>G12-TODAY()</x:f>
        <x:v>11</x:v>
      </x:c>
      <x:c r="J12" s="21" t="str">
        <x:f>IF(H12="Completado","Cerrado",IF(I12&lt;0,"Vencido",IF(I12&lt;=3,"Por vencer","En tiempo")))</x:f>
        <x:v>En tiempo</x:v>
      </x:c>
    </x:row>
    <x:row r="13">
      <x:c r="A13" s="21" t="str">
        <x:v>REC-009</x:v>
      </x:c>
      <x:c r="B13" s="21" t="str">
        <x:v>Representante de Ventas</x:v>
      </x:c>
      <x:c r="C13" s="21" t="str">
        <x:v>Renata Cruz</x:v>
      </x:c>
      <x:c r="D13" s="21" t="str">
        <x:v>María Pérez</x:v>
      </x:c>
      <x:c r="E13" s="21" t="str">
        <x:v>Alta</x:v>
      </x:c>
      <x:c r="F13" s="22" t="n">
        <x:v>46229</x:v>
      </x:c>
      <x:c r="G13" s="22" t="n">
        <x:v>46243</x:v>
      </x:c>
      <x:c r="H13" s="21" t="str">
        <x:v>Completado</x:v>
      </x:c>
      <x:c r="I13" s="23" t="n">
        <x:f>G13-TODAY()</x:f>
        <x:v>0</x:v>
      </x:c>
      <x:c r="J13" s="21" t="str">
        <x:f>IF(H13="Completado","Cerrado",IF(I13&lt;0,"Vencido",IF(I13&lt;=3,"Por vencer","En tiempo")))</x:f>
        <x:v>Cerrado</x:v>
      </x:c>
    </x:row>
    <x:row r="14">
      <x:c r="A14" s="21" t="str">
        <x:v>REC-010</x:v>
      </x:c>
      <x:c r="B14" s="21" t="str">
        <x:v>QA de Datos</x:v>
      </x:c>
      <x:c r="C14" s="21" t="str">
        <x:v>Andrés Luna</x:v>
      </x:c>
      <x:c r="D14" s="21" t="str">
        <x:v>Arud Sánchez</x:v>
      </x:c>
      <x:c r="E14" s="21" t="str">
        <x:v>Alta</x:v>
      </x:c>
      <x:c r="F14" s="22" t="n">
        <x:v>46240</x:v>
      </x:c>
      <x:c r="G14" s="22" t="n">
        <x:v>46253</x:v>
      </x:c>
      <x:c r="H14" s="21" t="str">
        <x:v>En proceso</x:v>
      </x:c>
      <x:c r="I14" s="23" t="n">
        <x:f>G14-TODAY()</x:f>
        <x:v>10</x:v>
      </x:c>
      <x:c r="J14" s="21" t="str">
        <x:f>IF(H14="Completado","Cerrado",IF(I14&lt;0,"Vencido",IF(I14&lt;=3,"Por vencer","En tiempo")))</x:f>
        <x:v>En tiempo</x:v>
      </x:c>
    </x:row>
    <x:row r="15">
      <x:c r="A15" s="21" t="str">
        <x:v>REC-011</x:v>
      </x:c>
      <x:c r="B15" s="21" t="str">
        <x:v>Practicante SQL</x:v>
      </x:c>
      <x:c r="C15" s="21" t="str">
        <x:v>Paula Ramos</x:v>
      </x:c>
      <x:c r="D15" s="21" t="str">
        <x:v>Carlos Díaz</x:v>
      </x:c>
      <x:c r="E15" s="21" t="str">
        <x:v>Baja</x:v>
      </x:c>
      <x:c r="F15" s="22" t="n">
        <x:v>46241</x:v>
      </x:c>
      <x:c r="G15" s="22" t="n">
        <x:v>46258</x:v>
      </x:c>
      <x:c r="H15" s="21" t="str">
        <x:v>Pendiente</x:v>
      </x:c>
      <x:c r="I15" s="23" t="n">
        <x:f>G15-TODAY()</x:f>
        <x:v>15</x:v>
      </x:c>
      <x:c r="J15" s="21" t="str">
        <x:f>IF(H15="Completado","Cerrado",IF(I15&lt;0,"Vencido",IF(I15&lt;=3,"Por vencer","En tiempo")))</x:f>
        <x:v>En tiempo</x:v>
      </x:c>
    </x:row>
    <x:row r="16">
      <x:c r="A16" s="24" t="str">
        <x:v>REC-012</x:v>
      </x:c>
      <x:c r="B16" s="24" t="str">
        <x:v>Analista de Procesos</x:v>
      </x:c>
      <x:c r="C16" s="24" t="str">
        <x:v>Joaquín Reyes</x:v>
      </x:c>
      <x:c r="D16" s="24" t="str">
        <x:v>Ana Torres</x:v>
      </x:c>
      <x:c r="E16" s="24" t="str">
        <x:v>Media</x:v>
      </x:c>
      <x:c r="F16" s="25" t="n">
        <x:v>46235</x:v>
      </x:c>
      <x:c r="G16" s="25" t="n">
        <x:v>46249</x:v>
      </x:c>
      <x:c r="H16" s="24" t="str">
        <x:v>Entrevista</x:v>
      </x:c>
      <x:c r="I16" s="26" t="n">
        <x:f>G16-TODAY()</x:f>
        <x:v>6</x:v>
      </x:c>
      <x:c r="J16" s="24" t="str">
        <x:f>IF(H16="Completado","Cerrado",IF(I16&lt;0,"Vencido",IF(I16&lt;=3,"Por vencer","En tiempo")))</x:f>
        <x:v>En tiempo</x:v>
      </x:c>
    </x:row>
  </x:sheetData>
  <x:mergeCells>
    <x:mergeCell ref="A1:J1"/>
    <x:mergeCell ref="A2:J2"/>
  </x:mergeCells>
  <x:conditionalFormatting sqref="J5:J100">
    <x:cfRule type="containsText" dxfId="0" priority="1" operator="containsText" text="Vencido"/>
    <x:cfRule type="containsText" dxfId="1" priority="2" operator="containsText" text="Por vencer"/>
    <x:cfRule type="containsText" dxfId="2" priority="3" operator="containsText" text="En tiempo"/>
    <x:cfRule type="containsText" dxfId="3" priority="4" operator="containsText" text="Cerrado"/>
  </x:conditionalFormatting>
  <x:dataValidations count="3">
    <x:dataValidation type="list" sqref="D5:D100">
      <x:formula1>'Listas'!$C$2:$C$6</x:formula1>
    </x:dataValidation>
    <x:dataValidation type="list" sqref="E5:E100">
      <x:formula1>'Listas'!$B$2:$B$4</x:formula1>
    </x:dataValidation>
    <x:dataValidation type="list" sqref="H5:H100">
      <x:formula1>'Listas'!$A$2:$A$6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bbc2a65ed440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" t="str">
        <x:v>Estados</x:v>
      </x:c>
      <x:c r="B1" s="2" t="str">
        <x:v>Prioridades</x:v>
      </x:c>
      <x:c r="C1" s="2" t="str">
        <x:v>Responsables</x:v>
      </x:c>
    </x:row>
    <x:row r="2">
      <x:c r="A2" t="str">
        <x:v>Pendiente</x:v>
      </x:c>
      <x:c r="B2" t="str">
        <x:v>Alta</x:v>
      </x:c>
      <x:c r="C2" t="str">
        <x:v>Ana Torres</x:v>
      </x:c>
    </x:row>
    <x:row r="3">
      <x:c r="A3" t="str">
        <x:v>En proceso</x:v>
      </x:c>
      <x:c r="B3" t="str">
        <x:v>Media</x:v>
      </x:c>
      <x:c r="C3" t="str">
        <x:v>Luis Rojas</x:v>
      </x:c>
    </x:row>
    <x:row r="4">
      <x:c r="A4" t="str">
        <x:v>Entrevista</x:v>
      </x:c>
      <x:c r="B4" t="str">
        <x:v>Baja</x:v>
      </x:c>
      <x:c r="C4" t="str">
        <x:v>María Pérez</x:v>
      </x:c>
    </x:row>
    <x:row r="5">
      <x:c r="A5" t="str">
        <x:v>Completado</x:v>
      </x:c>
      <x:c r="B5"/>
      <x:c r="C5" t="str">
        <x:v>Carlos Díaz</x:v>
      </x:c>
    </x:row>
    <x:row r="6">
      <x:c r="A6" t="str">
        <x:v>Pausado</x:v>
      </x:c>
      <x:c r="B6"/>
      <x:c r="C6" t="str">
        <x:v>Arud Sánchez</x:v>
      </x:c>
    </x:row>
  </x:sheetData>
  <x:pageMargins left="0.7" right="0.7" top="0.75" bottom="0.75" header="0.3" footer="0.3"/>
</x:worksheet>
</file>